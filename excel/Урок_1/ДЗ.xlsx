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20b71d4087fd7f5/Desktop/excel_course/"/>
    </mc:Choice>
  </mc:AlternateContent>
  <xr:revisionPtr revIDLastSave="1" documentId="11_AD4DF75460589B3ACB72843B9FDC4CAC5BDEDD9D" xr6:coauthVersionLast="47" xr6:coauthVersionMax="47" xr10:uidLastSave="{7B655E52-7701-4513-892D-81145608EB95}"/>
  <bookViews>
    <workbookView xWindow="-110" yWindow="-110" windowWidth="19420" windowHeight="10300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2" l="1"/>
  <c r="D13" i="2"/>
  <c r="D12" i="2"/>
  <c r="D11" i="2"/>
  <c r="D10" i="2"/>
  <c r="D9" i="2"/>
  <c r="D8" i="2"/>
  <c r="D7" i="2"/>
  <c r="D6" i="2"/>
  <c r="D5" i="2"/>
  <c r="H2" i="2" s="1"/>
  <c r="G2" i="2" s="1"/>
  <c r="D4" i="2"/>
  <c r="D3" i="2"/>
  <c r="D2" i="2"/>
  <c r="B21" i="1"/>
  <c r="C20" i="1"/>
  <c r="D11" i="1"/>
  <c r="D10" i="1"/>
  <c r="D9" i="1"/>
  <c r="D8" i="1"/>
  <c r="D7" i="1"/>
  <c r="D6" i="1"/>
  <c r="D5" i="1"/>
  <c r="D4" i="1"/>
  <c r="D3" i="1"/>
  <c r="F2" i="1"/>
  <c r="C19" i="1" s="1"/>
  <c r="D2" i="1"/>
  <c r="C16" i="1" l="1"/>
  <c r="C15" i="1"/>
  <c r="C17" i="1"/>
  <c r="C18" i="1"/>
  <c r="C21" i="1" l="1"/>
</calcChain>
</file>

<file path=xl/sharedStrings.xml><?xml version="1.0" encoding="utf-8"?>
<sst xmlns="http://schemas.openxmlformats.org/spreadsheetml/2006/main" count="16" uniqueCount="13">
  <si>
    <t>Месяц</t>
  </si>
  <si>
    <t>Количество студентов факт</t>
  </si>
  <si>
    <t>Проведено уроков</t>
  </si>
  <si>
    <t>Интенсивность</t>
  </si>
  <si>
    <t>Сред. интенсивность</t>
  </si>
  <si>
    <t>Количество студентов план</t>
  </si>
  <si>
    <t>Проведено уроков план</t>
  </si>
  <si>
    <t>итог</t>
  </si>
  <si>
    <t>Выручка план</t>
  </si>
  <si>
    <t>Выручка факт</t>
  </si>
  <si>
    <t>% выполнения плана</t>
  </si>
  <si>
    <t>худший месяц</t>
  </si>
  <si>
    <t>% выполнения плана худшего месяца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</si>
</sst>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0000"/>
    <numFmt numFmtId="165" formatCode="0.0"/>
    <numFmt numFmtId="166" formatCode="_-* #,##0.00\ &quot;₽&quot;_-;\-* #,##0.00\ &quot;₽&quot;_-;_-* &quot;-&quot;??\ &quot;₽&quot;_-;_-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5" fillId="0" borderId="0" xfId="0" applyFont="1"/>
    <xf numFmtId="0" fontId="3" fillId="0" borderId="1" xfId="0" applyFont="1" applyBorder="1"/>
    <xf numFmtId="14" fontId="4" fillId="0" borderId="0" xfId="0" applyNumberFormat="1" applyFont="1"/>
    <xf numFmtId="0" fontId="1" fillId="0" borderId="0" xfId="0" applyFont="1"/>
    <xf numFmtId="164" fontId="0" fillId="0" borderId="1" xfId="0" applyNumberFormat="1" applyBorder="1"/>
    <xf numFmtId="165" fontId="0" fillId="0" borderId="2" xfId="0" applyNumberFormat="1" applyBorder="1"/>
    <xf numFmtId="0" fontId="3" fillId="0" borderId="0" xfId="0" applyFont="1"/>
    <xf numFmtId="1" fontId="0" fillId="0" borderId="1" xfId="0" applyNumberFormat="1" applyBorder="1"/>
    <xf numFmtId="14" fontId="0" fillId="0" borderId="0" xfId="0" applyNumberFormat="1"/>
    <xf numFmtId="0" fontId="3" fillId="0" borderId="2" xfId="0" applyFont="1" applyBorder="1" applyAlignment="1">
      <alignment horizontal="center"/>
    </xf>
    <xf numFmtId="0" fontId="0" fillId="0" borderId="3" xfId="0" applyBorder="1"/>
    <xf numFmtId="1" fontId="0" fillId="0" borderId="3" xfId="0" applyNumberForma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3" fillId="0" borderId="7" xfId="0" applyFont="1" applyBorder="1"/>
    <xf numFmtId="0" fontId="3" fillId="0" borderId="2" xfId="0" applyFont="1" applyBorder="1"/>
    <xf numFmtId="166" fontId="4" fillId="0" borderId="0" xfId="0" applyNumberFormat="1" applyFont="1"/>
    <xf numFmtId="10" fontId="0" fillId="0" borderId="1" xfId="1" applyNumberFormat="1" applyFont="1" applyBorder="1"/>
    <xf numFmtId="14" fontId="1" fillId="0" borderId="2" xfId="0" applyNumberFormat="1" applyFont="1" applyBorder="1"/>
    <xf numFmtId="10" fontId="0" fillId="0" borderId="8" xfId="0" applyNumberFormat="1" applyBorder="1"/>
    <xf numFmtId="10" fontId="0" fillId="0" borderId="9" xfId="1" applyNumberFormat="1" applyFont="1" applyBorder="1"/>
    <xf numFmtId="166" fontId="4" fillId="0" borderId="3" xfId="0" applyNumberFormat="1" applyFont="1" applyBorder="1"/>
    <xf numFmtId="9" fontId="0" fillId="0" borderId="2" xfId="0" applyNumberFormat="1" applyBorder="1"/>
  </cellXfs>
  <cellStyles count="2">
    <cellStyle name="Обычный" xfId="0" builtinId="0"/>
    <cellStyle name="Процентный" xfId="1" builtinId="5"/>
  </cellStyles>
  <dxfs count="4">
    <dxf>
      <numFmt numFmtId="13" formatCode="0%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</dxfs>
  <tableStyles count="1" defaultTableStyle="TableStyleMedium2" defaultPivotStyle="PivotStyleLight16">
    <tableStyle name="Задача 3 План-факт-style" pivot="0" count="3" xr9:uid="{7F15DA98-549F-4905-BBA9-B59C366C17F5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3F93D-869A-411E-8D7C-92922C34366A}" name="Table_1" displayName="Table_1" ref="A1:D14">
  <tableColumns count="4">
    <tableColumn id="1" xr3:uid="{2C14690D-4830-4C31-98DE-EEF56634863C}" name="Месяц"/>
    <tableColumn id="2" xr3:uid="{E5967DB8-73FE-4B67-A2FE-37A3D63D672D}" name="Выручка план"/>
    <tableColumn id="3" xr3:uid="{C00D185F-E069-4791-B0DE-E9AE7425A4F5}" name="Выручка факт"/>
    <tableColumn id="4" xr3:uid="{10C3B149-8069-4C98-808A-D5358DFA8B1D}" name="% выполнения плана" dataDxfId="0">
      <calculatedColumnFormula>Table_1[[#This Row],[Выручка факт]]/Table_1[[#This Row],[Выручка план]]</calculatedColumnFormula>
    </tableColumn>
  </tableColumns>
  <tableStyleInfo name="Задача 3 План-факт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opLeftCell="A5" workbookViewId="0">
      <selection sqref="A1:F21"/>
    </sheetView>
  </sheetViews>
  <sheetFormatPr defaultRowHeight="14.5" x14ac:dyDescent="0.35"/>
  <cols>
    <col min="1" max="1" width="9.90625" bestFit="1" customWidth="1"/>
    <col min="2" max="2" width="25.1796875" bestFit="1" customWidth="1"/>
    <col min="3" max="3" width="22.26953125" bestFit="1" customWidth="1"/>
    <col min="4" max="4" width="13.90625" bestFit="1" customWidth="1"/>
    <col min="6" max="6" width="19.1796875" bestFit="1" customWidth="1"/>
  </cols>
  <sheetData>
    <row r="1" spans="1: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6" ht="15" thickBot="1" x14ac:dyDescent="0.4">
      <c r="A2" s="3">
        <v>43160</v>
      </c>
      <c r="B2" s="4">
        <v>424</v>
      </c>
      <c r="C2" s="4">
        <v>2288</v>
      </c>
      <c r="D2" s="5">
        <f>C2/B2</f>
        <v>5.3962264150943398</v>
      </c>
      <c r="F2" s="6">
        <f>GEOMEAN(D2:D11)</f>
        <v>5.1627618473044699</v>
      </c>
    </row>
    <row r="3" spans="1:6" ht="15" thickBot="1" x14ac:dyDescent="0.4">
      <c r="A3" s="3">
        <v>43191</v>
      </c>
      <c r="B3" s="4">
        <v>474</v>
      </c>
      <c r="C3" s="4">
        <v>2561</v>
      </c>
      <c r="D3" s="5">
        <f t="shared" ref="D3:D11" si="0">C3/B3</f>
        <v>5.4029535864978904</v>
      </c>
    </row>
    <row r="4" spans="1:6" ht="15" thickBot="1" x14ac:dyDescent="0.4">
      <c r="A4" s="3">
        <v>43221</v>
      </c>
      <c r="B4" s="4">
        <v>476</v>
      </c>
      <c r="C4" s="4">
        <v>2425</v>
      </c>
      <c r="D4" s="5">
        <f t="shared" si="0"/>
        <v>5.0945378151260501</v>
      </c>
    </row>
    <row r="5" spans="1:6" ht="15" thickBot="1" x14ac:dyDescent="0.4">
      <c r="A5" s="3">
        <v>43252</v>
      </c>
      <c r="B5" s="4">
        <v>530</v>
      </c>
      <c r="C5" s="4">
        <v>2808</v>
      </c>
      <c r="D5" s="5">
        <f t="shared" si="0"/>
        <v>5.2981132075471695</v>
      </c>
    </row>
    <row r="6" spans="1:6" ht="15" thickBot="1" x14ac:dyDescent="0.4">
      <c r="A6" s="3">
        <v>43282</v>
      </c>
      <c r="B6" s="4">
        <v>607</v>
      </c>
      <c r="C6" s="4">
        <v>3015</v>
      </c>
      <c r="D6" s="5">
        <f t="shared" si="0"/>
        <v>4.9670510708401974</v>
      </c>
    </row>
    <row r="7" spans="1:6" ht="15" thickBot="1" x14ac:dyDescent="0.4">
      <c r="A7" s="3">
        <v>43313</v>
      </c>
      <c r="B7" s="4">
        <v>620</v>
      </c>
      <c r="C7" s="4">
        <v>3035</v>
      </c>
      <c r="D7" s="5">
        <f t="shared" si="0"/>
        <v>4.895161290322581</v>
      </c>
    </row>
    <row r="8" spans="1:6" ht="15" thickBot="1" x14ac:dyDescent="0.4">
      <c r="A8" s="3">
        <v>43344</v>
      </c>
      <c r="B8" s="4">
        <v>684</v>
      </c>
      <c r="C8" s="4">
        <v>3424</v>
      </c>
      <c r="D8" s="5">
        <f t="shared" si="0"/>
        <v>5.0058479532163744</v>
      </c>
    </row>
    <row r="9" spans="1:6" ht="15" thickBot="1" x14ac:dyDescent="0.4">
      <c r="A9" s="3">
        <v>43374</v>
      </c>
      <c r="B9" s="4">
        <v>797</v>
      </c>
      <c r="C9" s="4">
        <v>4481</v>
      </c>
      <c r="D9" s="5">
        <f t="shared" si="0"/>
        <v>5.6223337515683811</v>
      </c>
    </row>
    <row r="10" spans="1:6" ht="15" thickBot="1" x14ac:dyDescent="0.4">
      <c r="A10" s="3">
        <v>43405</v>
      </c>
      <c r="B10" s="4">
        <v>867</v>
      </c>
      <c r="C10" s="4">
        <v>4510</v>
      </c>
      <c r="D10" s="5">
        <f t="shared" si="0"/>
        <v>5.2018454440599768</v>
      </c>
    </row>
    <row r="11" spans="1:6" x14ac:dyDescent="0.35">
      <c r="A11" s="3">
        <v>43435</v>
      </c>
      <c r="B11">
        <v>926</v>
      </c>
      <c r="C11">
        <v>4447</v>
      </c>
      <c r="D11" s="5">
        <f t="shared" si="0"/>
        <v>4.8023758099352047</v>
      </c>
    </row>
    <row r="12" spans="1:6" x14ac:dyDescent="0.35">
      <c r="C12" s="4"/>
    </row>
    <row r="14" spans="1:6" ht="15" thickBot="1" x14ac:dyDescent="0.4">
      <c r="A14" s="1" t="s">
        <v>0</v>
      </c>
      <c r="B14" s="1" t="s">
        <v>5</v>
      </c>
      <c r="C14" s="7" t="s">
        <v>6</v>
      </c>
    </row>
    <row r="15" spans="1:6" ht="15" thickBot="1" x14ac:dyDescent="0.4">
      <c r="A15" s="3">
        <v>43466</v>
      </c>
      <c r="B15" s="4">
        <v>1038</v>
      </c>
      <c r="C15" s="8">
        <f>B15*$F$2</f>
        <v>5358.9467975020398</v>
      </c>
    </row>
    <row r="16" spans="1:6" ht="15" thickBot="1" x14ac:dyDescent="0.4">
      <c r="A16" s="3">
        <v>43497</v>
      </c>
      <c r="B16" s="4">
        <v>1044</v>
      </c>
      <c r="C16" s="8">
        <f t="shared" ref="C16:C20" si="1">B16*$F$2</f>
        <v>5389.9233685858662</v>
      </c>
    </row>
    <row r="17" spans="1:3" ht="15" thickBot="1" x14ac:dyDescent="0.4">
      <c r="A17" s="3">
        <v>43525</v>
      </c>
      <c r="B17" s="4">
        <v>1118</v>
      </c>
      <c r="C17" s="8">
        <f t="shared" si="1"/>
        <v>5771.9677452863971</v>
      </c>
    </row>
    <row r="18" spans="1:3" ht="15" thickBot="1" x14ac:dyDescent="0.4">
      <c r="A18" s="3">
        <v>43556</v>
      </c>
      <c r="B18" s="4">
        <v>1221</v>
      </c>
      <c r="C18" s="8">
        <f t="shared" si="1"/>
        <v>6303.7322155587581</v>
      </c>
    </row>
    <row r="19" spans="1:3" ht="15" thickBot="1" x14ac:dyDescent="0.4">
      <c r="A19" s="3">
        <v>43586</v>
      </c>
      <c r="B19" s="4">
        <v>1265</v>
      </c>
      <c r="C19" s="8">
        <f t="shared" si="1"/>
        <v>6530.8937368401548</v>
      </c>
    </row>
    <row r="20" spans="1:3" ht="15" thickBot="1" x14ac:dyDescent="0.4">
      <c r="A20" s="9">
        <v>43617</v>
      </c>
      <c r="B20">
        <v>1312</v>
      </c>
      <c r="C20" s="8">
        <f t="shared" si="1"/>
        <v>6773.5435436634643</v>
      </c>
    </row>
    <row r="21" spans="1:3" ht="15" thickBot="1" x14ac:dyDescent="0.4">
      <c r="A21" s="10" t="s">
        <v>7</v>
      </c>
      <c r="B21" s="11">
        <f>SUM(B15:B20)</f>
        <v>6998</v>
      </c>
      <c r="C21" s="12">
        <f>SUM(C15:C20)</f>
        <v>36129.007407436678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45D3-F8B1-4A2E-BC63-EC2745FF6E4D}">
  <dimension ref="A1:H14"/>
  <sheetViews>
    <sheetView tabSelected="1" workbookViewId="0">
      <selection activeCell="H17" sqref="H17"/>
    </sheetView>
  </sheetViews>
  <sheetFormatPr defaultRowHeight="14.5" x14ac:dyDescent="0.35"/>
  <cols>
    <col min="1" max="1" width="9.90625" bestFit="1" customWidth="1"/>
    <col min="2" max="3" width="15" bestFit="1" customWidth="1"/>
    <col min="4" max="4" width="19.6328125" bestFit="1" customWidth="1"/>
    <col min="7" max="7" width="13.453125" bestFit="1" customWidth="1"/>
    <col min="8" max="8" width="34.6328125" bestFit="1" customWidth="1"/>
  </cols>
  <sheetData>
    <row r="1" spans="1:8" ht="15" thickBot="1" x14ac:dyDescent="0.4">
      <c r="A1" s="13" t="s">
        <v>0</v>
      </c>
      <c r="B1" s="14" t="s">
        <v>8</v>
      </c>
      <c r="C1" s="15" t="s">
        <v>9</v>
      </c>
      <c r="D1" s="7" t="s">
        <v>10</v>
      </c>
      <c r="G1" s="16" t="s">
        <v>11</v>
      </c>
      <c r="H1" s="17" t="s">
        <v>12</v>
      </c>
    </row>
    <row r="2" spans="1:8" ht="15" thickBot="1" x14ac:dyDescent="0.4">
      <c r="A2" s="3">
        <v>42461</v>
      </c>
      <c r="B2" s="18">
        <v>12250000</v>
      </c>
      <c r="C2" s="18">
        <v>12160457</v>
      </c>
      <c r="D2" s="19">
        <f>Table_1[[#This Row],[Выручка факт]]/Table_1[[#This Row],[Выручка план]]</f>
        <v>0.99269036734693883</v>
      </c>
      <c r="G2" s="20">
        <f>INDEX(A2:A13, MATCH(H2,D2:D13,0))</f>
        <v>42614</v>
      </c>
      <c r="H2" s="21">
        <f>MIN(D2:D13)</f>
        <v>0.82791357142857147</v>
      </c>
    </row>
    <row r="3" spans="1:8" x14ac:dyDescent="0.35">
      <c r="A3" s="3">
        <v>42491</v>
      </c>
      <c r="B3" s="18">
        <v>13700000</v>
      </c>
      <c r="C3" s="18">
        <v>12348223</v>
      </c>
      <c r="D3" s="22">
        <f>Table_1[[#This Row],[Выручка факт]]/Table_1[[#This Row],[Выручка план]]</f>
        <v>0.90133014598540151</v>
      </c>
      <c r="G3" s="4"/>
    </row>
    <row r="4" spans="1:8" x14ac:dyDescent="0.35">
      <c r="A4" s="3">
        <v>42522</v>
      </c>
      <c r="B4" s="18">
        <v>14100000</v>
      </c>
      <c r="C4" s="18">
        <v>12491902</v>
      </c>
      <c r="D4" s="22">
        <f>Table_1[[#This Row],[Выручка факт]]/Table_1[[#This Row],[Выручка план]]</f>
        <v>0.88595049645390067</v>
      </c>
      <c r="G4" s="4"/>
    </row>
    <row r="5" spans="1:8" x14ac:dyDescent="0.35">
      <c r="A5" s="3">
        <v>42552</v>
      </c>
      <c r="B5" s="18">
        <v>14200000</v>
      </c>
      <c r="C5" s="18">
        <v>14113731</v>
      </c>
      <c r="D5" s="22">
        <f>Table_1[[#This Row],[Выручка факт]]/Table_1[[#This Row],[Выручка план]]</f>
        <v>0.99392471830985918</v>
      </c>
      <c r="G5" s="4"/>
    </row>
    <row r="6" spans="1:8" x14ac:dyDescent="0.35">
      <c r="A6" s="3">
        <v>42583</v>
      </c>
      <c r="B6" s="18">
        <v>15300000</v>
      </c>
      <c r="C6" s="18">
        <v>13959544</v>
      </c>
      <c r="D6" s="22">
        <f>Table_1[[#This Row],[Выручка факт]]/Table_1[[#This Row],[Выручка план]]</f>
        <v>0.91238849673202616</v>
      </c>
    </row>
    <row r="7" spans="1:8" x14ac:dyDescent="0.35">
      <c r="A7" s="3">
        <v>42614</v>
      </c>
      <c r="B7" s="18">
        <v>16800000</v>
      </c>
      <c r="C7" s="18">
        <v>13908948</v>
      </c>
      <c r="D7" s="22">
        <f>Table_1[[#This Row],[Выручка факт]]/Table_1[[#This Row],[Выручка план]]</f>
        <v>0.82791357142857147</v>
      </c>
    </row>
    <row r="8" spans="1:8" x14ac:dyDescent="0.35">
      <c r="A8" s="3">
        <v>42644</v>
      </c>
      <c r="B8" s="18">
        <v>18100000</v>
      </c>
      <c r="C8" s="18">
        <v>16117256</v>
      </c>
      <c r="D8" s="22">
        <f>Table_1[[#This Row],[Выручка факт]]/Table_1[[#This Row],[Выручка план]]</f>
        <v>0.8904561325966851</v>
      </c>
    </row>
    <row r="9" spans="1:8" x14ac:dyDescent="0.35">
      <c r="A9" s="3">
        <v>42675</v>
      </c>
      <c r="B9" s="18">
        <v>18400000</v>
      </c>
      <c r="C9" s="18">
        <v>16957631</v>
      </c>
      <c r="D9" s="22">
        <f>Table_1[[#This Row],[Выручка факт]]/Table_1[[#This Row],[Выручка план]]</f>
        <v>0.92161038043478261</v>
      </c>
    </row>
    <row r="10" spans="1:8" x14ac:dyDescent="0.35">
      <c r="A10" s="3">
        <v>42705</v>
      </c>
      <c r="B10" s="18">
        <v>18700000</v>
      </c>
      <c r="C10" s="18">
        <v>19297518</v>
      </c>
      <c r="D10" s="22">
        <f>Table_1[[#This Row],[Выручка факт]]/Table_1[[#This Row],[Выручка план]]</f>
        <v>1.0319528342245989</v>
      </c>
    </row>
    <row r="11" spans="1:8" x14ac:dyDescent="0.35">
      <c r="A11" s="3">
        <v>42736</v>
      </c>
      <c r="B11" s="18">
        <v>19300000</v>
      </c>
      <c r="C11" s="18">
        <v>19871471</v>
      </c>
      <c r="D11" s="22">
        <f>Table_1[[#This Row],[Выручка факт]]/Table_1[[#This Row],[Выручка план]]</f>
        <v>1.0296098963730569</v>
      </c>
    </row>
    <row r="12" spans="1:8" x14ac:dyDescent="0.35">
      <c r="A12" s="3">
        <v>42767</v>
      </c>
      <c r="B12" s="18">
        <v>20100000</v>
      </c>
      <c r="C12" s="18">
        <v>18206739</v>
      </c>
      <c r="D12" s="22">
        <f>Table_1[[#This Row],[Выручка факт]]/Table_1[[#This Row],[Выручка план]]</f>
        <v>0.90580791044776121</v>
      </c>
    </row>
    <row r="13" spans="1:8" ht="15" thickBot="1" x14ac:dyDescent="0.4">
      <c r="A13" s="3">
        <v>42795</v>
      </c>
      <c r="B13" s="18">
        <v>20300000</v>
      </c>
      <c r="C13" s="18">
        <v>20443345</v>
      </c>
      <c r="D13" s="22">
        <f>Table_1[[#This Row],[Выручка факт]]/Table_1[[#This Row],[Выручка план]]</f>
        <v>1.007061330049261</v>
      </c>
    </row>
    <row r="14" spans="1:8" ht="15" thickBot="1" x14ac:dyDescent="0.4">
      <c r="A14" s="16" t="s">
        <v>7</v>
      </c>
      <c r="B14" s="23"/>
      <c r="C14" s="23"/>
      <c r="D14" s="24">
        <f>SUM(C2:C13)/SUM(B2:B13)</f>
        <v>0.94348703105590059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Кабаков Глеб</dc:creator>
  <cp:lastModifiedBy>Кабаков Глеб</cp:lastModifiedBy>
  <dcterms:created xsi:type="dcterms:W3CDTF">2015-06-05T18:19:34Z</dcterms:created>
  <dcterms:modified xsi:type="dcterms:W3CDTF">2026-05-26T17:00:35Z</dcterms:modified>
</cp:coreProperties>
</file>