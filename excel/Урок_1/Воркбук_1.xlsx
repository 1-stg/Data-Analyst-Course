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0b71d4087fd7f5/Desktop/"/>
    </mc:Choice>
  </mc:AlternateContent>
  <xr:revisionPtr revIDLastSave="1" documentId="13_ncr:1_{14A59473-6B97-4F72-A519-9606B0711886}" xr6:coauthVersionLast="47" xr6:coauthVersionMax="47" xr10:uidLastSave="{0F60681E-8AEF-463D-90E1-325AB81E6CA0}"/>
  <bookViews>
    <workbookView xWindow="-110" yWindow="-110" windowWidth="19420" windowHeight="10300" xr2:uid="{DF8BB88E-7CDF-4BF2-A2BB-981873FB54CC}"/>
  </bookViews>
  <sheets>
    <sheet name="Студенты" sheetId="1" r:id="rId1"/>
    <sheet name="План маркетинг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0" i="1" l="1"/>
  <c r="F30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4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" i="1"/>
  <c r="AH2" i="1"/>
  <c r="AI2" i="1"/>
  <c r="AJ2" i="1"/>
  <c r="AG4" i="1"/>
  <c r="AG5" i="1"/>
  <c r="AG6" i="1"/>
  <c r="AG7" i="1"/>
  <c r="AG8" i="1"/>
  <c r="AG9" i="1"/>
  <c r="AG2" i="1"/>
  <c r="AK10" i="1"/>
  <c r="AK4" i="1"/>
  <c r="AE4" i="1"/>
  <c r="AE5" i="1"/>
  <c r="AE6" i="1"/>
  <c r="AE7" i="1"/>
  <c r="AE8" i="1"/>
  <c r="AE9" i="1"/>
  <c r="AE3" i="1"/>
  <c r="AC4" i="1"/>
  <c r="AK5" i="1" s="1"/>
  <c r="AC5" i="1"/>
  <c r="AK6" i="1" s="1"/>
  <c r="AC6" i="1"/>
  <c r="AK7" i="1" s="1"/>
  <c r="AC7" i="1"/>
  <c r="AK8" i="1" s="1"/>
  <c r="AC8" i="1"/>
  <c r="AK9" i="1" s="1"/>
  <c r="AC9" i="1"/>
  <c r="AC3" i="1"/>
  <c r="C31" i="1" l="1"/>
  <c r="K3" i="1"/>
  <c r="C32" i="1" l="1"/>
  <c r="F31" i="1"/>
  <c r="C33" i="1" l="1"/>
  <c r="F32" i="1"/>
  <c r="C34" i="1" l="1"/>
  <c r="F33" i="1"/>
  <c r="C35" i="1" l="1"/>
  <c r="F34" i="1"/>
  <c r="C36" i="1" l="1"/>
  <c r="F35" i="1"/>
  <c r="C37" i="1" l="1"/>
  <c r="F36" i="1"/>
  <c r="C38" i="1" l="1"/>
  <c r="F37" i="1"/>
  <c r="C39" i="1" l="1"/>
  <c r="F38" i="1"/>
  <c r="C40" i="1" l="1"/>
  <c r="F39" i="1"/>
  <c r="C41" i="1" l="1"/>
  <c r="F41" i="1" s="1"/>
  <c r="F40" i="1"/>
  <c r="F43" i="1" l="1"/>
</calcChain>
</file>

<file path=xl/sharedStrings.xml><?xml version="1.0" encoding="utf-8"?>
<sst xmlns="http://schemas.openxmlformats.org/spreadsheetml/2006/main" count="14" uniqueCount="13">
  <si>
    <t>Retention</t>
  </si>
  <si>
    <t>Месяц</t>
  </si>
  <si>
    <t>Количество новых студентов</t>
  </si>
  <si>
    <t>Количество студентов всего</t>
  </si>
  <si>
    <t>Выручка</t>
  </si>
  <si>
    <t>Выручка с одного студента</t>
  </si>
  <si>
    <t>План по новым ученикам</t>
  </si>
  <si>
    <t>относительный столбец и строка</t>
  </si>
  <si>
    <t>Абсолютный столбец и абсолютная строка</t>
  </si>
  <si>
    <t>Средняя выручка с одного студента</t>
  </si>
  <si>
    <t>Колличество старых студентов</t>
  </si>
  <si>
    <t>Средний Retention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</si>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</sst>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#,##0.00\ &quot;₽&quot;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color rgb="FF04121B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4" fillId="0" borderId="0" xfId="0" applyFont="1"/>
    <xf numFmtId="1" fontId="0" fillId="0" borderId="0" xfId="0" applyNumberFormat="1"/>
    <xf numFmtId="174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14" fontId="0" fillId="0" borderId="1" xfId="0" applyNumberFormat="1" applyBorder="1"/>
    <xf numFmtId="1" fontId="0" fillId="0" borderId="1" xfId="0" applyNumberFormat="1" applyBorder="1"/>
    <xf numFmtId="0" fontId="0" fillId="0" borderId="1" xfId="0" applyBorder="1"/>
    <xf numFmtId="174" fontId="0" fillId="0" borderId="1" xfId="0" applyNumberFormat="1" applyBorder="1"/>
    <xf numFmtId="10" fontId="0" fillId="0" borderId="1" xfId="0" applyNumberFormat="1" applyBorder="1"/>
  </cellXfs>
  <cellStyles count="2">
    <cellStyle name="Обычный" xfId="0" builtinId="0"/>
    <cellStyle name="Процентный" xfId="1" builtinId="5"/>
  </cellStyles>
  <dxfs count="4">
    <dxf>
      <numFmt numFmtId="174" formatCode="#,##0.00\ &quot;₽&quot;"/>
    </dxf>
    <dxf>
      <numFmt numFmtId="1" formatCode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DB8704-8E5C-482D-9C1B-C78662A49EFE}" name="Таблица1" displayName="Таблица1" ref="B2:H41" totalsRowShown="0" headerRowDxfId="3">
  <autoFilter ref="B2:H41" xr:uid="{14DB8704-8E5C-482D-9C1B-C78662A49EFE}"/>
  <tableColumns count="7">
    <tableColumn id="1" xr3:uid="{E5D8FAB4-EC2C-484E-8687-0AA25113F9E1}" name="Месяц" dataDxfId="2"/>
    <tableColumn id="2" xr3:uid="{24294F2B-A154-4461-95C1-393F1C256260}" name="Количество студентов всего" dataDxfId="1">
      <calculatedColumnFormula>C2*$K$6+D3</calculatedColumnFormula>
    </tableColumn>
    <tableColumn id="3" xr3:uid="{443DCE6F-DDEC-412D-B733-91E94D4CD39B}" name="Количество новых студентов"/>
    <tableColumn id="4" xr3:uid="{C0BA6C41-90CF-4862-8A28-7671F7DC51DC}" name="Колличество старых студентов"/>
    <tableColumn id="5" xr3:uid="{8492A067-71D8-49A1-A535-891F362643E6}" name="Выручка" dataDxfId="0">
      <calculatedColumnFormula>$K$3*C3</calculatedColumnFormula>
    </tableColumn>
    <tableColumn id="6" xr3:uid="{FAD2E4E0-D0CF-46F4-AB9B-FE28BDF3C1DD}" name="Выручка с одного студента"/>
    <tableColumn id="7" xr3:uid="{A99440FE-EB34-44B3-9120-7D657B0DFDBE}" name="Retentio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4B9C-90BC-48C3-933E-D92270C7E99B}">
  <dimension ref="B2:AK43"/>
  <sheetViews>
    <sheetView tabSelected="1" topLeftCell="A34" zoomScale="85" zoomScaleNormal="85" workbookViewId="0">
      <selection activeCell="G42" sqref="G42"/>
    </sheetView>
  </sheetViews>
  <sheetFormatPr defaultColWidth="8.81640625" defaultRowHeight="14.5" x14ac:dyDescent="0.35"/>
  <cols>
    <col min="1" max="1" width="10.453125" customWidth="1"/>
    <col min="2" max="2" width="11.1796875" customWidth="1"/>
    <col min="3" max="3" width="27.26953125" customWidth="1"/>
    <col min="4" max="4" width="28.08984375" customWidth="1"/>
    <col min="5" max="5" width="29.7265625" customWidth="1"/>
    <col min="6" max="6" width="15.7265625" bestFit="1" customWidth="1"/>
    <col min="7" max="7" width="28.453125" customWidth="1"/>
    <col min="8" max="8" width="13.26953125" customWidth="1"/>
    <col min="11" max="11" width="32.7265625" bestFit="1" customWidth="1"/>
    <col min="12" max="12" width="29.6328125" bestFit="1" customWidth="1"/>
    <col min="14" max="14" width="34.1796875" bestFit="1" customWidth="1"/>
  </cols>
  <sheetData>
    <row r="2" spans="2:37" x14ac:dyDescent="0.35">
      <c r="B2" s="2" t="s">
        <v>1</v>
      </c>
      <c r="C2" s="2" t="s">
        <v>3</v>
      </c>
      <c r="D2" s="2" t="s">
        <v>2</v>
      </c>
      <c r="E2" s="2" t="s">
        <v>10</v>
      </c>
      <c r="F2" s="2" t="s">
        <v>4</v>
      </c>
      <c r="G2" s="2" t="s">
        <v>5</v>
      </c>
      <c r="H2" s="2" t="s">
        <v>0</v>
      </c>
      <c r="K2" s="2" t="s">
        <v>9</v>
      </c>
      <c r="AC2" t="s">
        <v>7</v>
      </c>
      <c r="AE2" s="5" t="s">
        <v>8</v>
      </c>
      <c r="AG2">
        <f>AA$13</f>
        <v>1</v>
      </c>
      <c r="AH2">
        <f>AB$13</f>
        <v>2</v>
      </c>
      <c r="AI2">
        <f>AC$13</f>
        <v>3</v>
      </c>
      <c r="AJ2">
        <f>AD$13</f>
        <v>4</v>
      </c>
    </row>
    <row r="3" spans="2:37" x14ac:dyDescent="0.35">
      <c r="B3" s="1">
        <v>43466</v>
      </c>
      <c r="C3" s="6">
        <v>435</v>
      </c>
      <c r="D3">
        <v>203</v>
      </c>
      <c r="E3">
        <f>C3-D3</f>
        <v>232</v>
      </c>
      <c r="F3" s="7">
        <v>2251348</v>
      </c>
      <c r="G3">
        <f>F3/C3</f>
        <v>5175.5126436781611</v>
      </c>
      <c r="H3" s="8"/>
      <c r="K3" s="6">
        <f>AVERAGE(G3:G29)</f>
        <v>4995.4590415797093</v>
      </c>
      <c r="AA3">
        <v>1</v>
      </c>
      <c r="AC3">
        <f>AA3</f>
        <v>1</v>
      </c>
      <c r="AE3">
        <f>$AA$3</f>
        <v>1</v>
      </c>
    </row>
    <row r="4" spans="2:37" x14ac:dyDescent="0.35">
      <c r="B4" s="1">
        <v>43497</v>
      </c>
      <c r="C4" s="6">
        <v>603</v>
      </c>
      <c r="D4">
        <v>209</v>
      </c>
      <c r="E4">
        <f t="shared" ref="E4:E41" si="0">C4-D4</f>
        <v>394</v>
      </c>
      <c r="F4" s="7">
        <v>2872521</v>
      </c>
      <c r="G4">
        <f>F4/C4</f>
        <v>4763.7164179104475</v>
      </c>
      <c r="H4" s="8">
        <f>E4/C3</f>
        <v>0.90574712643678157</v>
      </c>
      <c r="AA4">
        <v>2</v>
      </c>
      <c r="AB4" s="3"/>
      <c r="AC4">
        <f t="shared" ref="AC4:AC9" si="1">AA4</f>
        <v>2</v>
      </c>
      <c r="AE4">
        <f>$AA$3</f>
        <v>1</v>
      </c>
      <c r="AG4">
        <f>AA$13</f>
        <v>1</v>
      </c>
      <c r="AK4">
        <f>$AC3</f>
        <v>1</v>
      </c>
    </row>
    <row r="5" spans="2:37" x14ac:dyDescent="0.35">
      <c r="B5" s="1">
        <v>43525</v>
      </c>
      <c r="C5" s="6">
        <v>764</v>
      </c>
      <c r="D5">
        <v>227</v>
      </c>
      <c r="E5">
        <f t="shared" si="0"/>
        <v>537</v>
      </c>
      <c r="F5" s="7">
        <v>3835935</v>
      </c>
      <c r="G5">
        <f>F5/C5</f>
        <v>5020.8573298429319</v>
      </c>
      <c r="H5" s="8">
        <f t="shared" ref="H5:H29" si="2">E5/C4</f>
        <v>0.89054726368159209</v>
      </c>
      <c r="K5" t="s">
        <v>11</v>
      </c>
      <c r="AA5">
        <v>3</v>
      </c>
      <c r="AC5">
        <f t="shared" si="1"/>
        <v>3</v>
      </c>
      <c r="AE5">
        <f>$AA$3</f>
        <v>1</v>
      </c>
      <c r="AG5">
        <f>AA$13</f>
        <v>1</v>
      </c>
      <c r="AK5">
        <f>$AC4</f>
        <v>2</v>
      </c>
    </row>
    <row r="6" spans="2:37" x14ac:dyDescent="0.35">
      <c r="B6" s="1">
        <v>43556</v>
      </c>
      <c r="C6" s="6">
        <v>926</v>
      </c>
      <c r="D6">
        <v>244</v>
      </c>
      <c r="E6">
        <f t="shared" si="0"/>
        <v>682</v>
      </c>
      <c r="F6" s="7">
        <v>4519067</v>
      </c>
      <c r="G6">
        <f>F6/C6</f>
        <v>4880.2019438444922</v>
      </c>
      <c r="H6" s="8">
        <f t="shared" si="2"/>
        <v>0.89267015706806285</v>
      </c>
      <c r="K6" s="9">
        <v>0.91</v>
      </c>
      <c r="AA6">
        <v>4</v>
      </c>
      <c r="AC6">
        <f t="shared" si="1"/>
        <v>4</v>
      </c>
      <c r="AE6">
        <f>$AA$3</f>
        <v>1</v>
      </c>
      <c r="AG6">
        <f>AA$13</f>
        <v>1</v>
      </c>
      <c r="AK6">
        <f>$AC5</f>
        <v>3</v>
      </c>
    </row>
    <row r="7" spans="2:37" x14ac:dyDescent="0.35">
      <c r="B7" s="1">
        <v>43586</v>
      </c>
      <c r="C7" s="6">
        <v>1109</v>
      </c>
      <c r="D7">
        <v>267</v>
      </c>
      <c r="E7">
        <f t="shared" si="0"/>
        <v>842</v>
      </c>
      <c r="F7" s="7">
        <v>5319691</v>
      </c>
      <c r="G7">
        <f>F7/C7</f>
        <v>4796.8358881875565</v>
      </c>
      <c r="H7" s="8">
        <f t="shared" si="2"/>
        <v>0.90928725701943847</v>
      </c>
      <c r="AA7">
        <v>5</v>
      </c>
      <c r="AC7">
        <f t="shared" si="1"/>
        <v>5</v>
      </c>
      <c r="AE7">
        <f>$AA$3</f>
        <v>1</v>
      </c>
      <c r="AG7">
        <f>AA$13</f>
        <v>1</v>
      </c>
      <c r="AK7">
        <f>$AC6</f>
        <v>4</v>
      </c>
    </row>
    <row r="8" spans="2:37" x14ac:dyDescent="0.35">
      <c r="B8" s="1">
        <v>43617</v>
      </c>
      <c r="C8" s="6">
        <v>1278</v>
      </c>
      <c r="D8">
        <v>291</v>
      </c>
      <c r="E8">
        <f t="shared" si="0"/>
        <v>987</v>
      </c>
      <c r="F8" s="7">
        <v>6544578</v>
      </c>
      <c r="G8">
        <f>F8/C8</f>
        <v>5120.9530516431923</v>
      </c>
      <c r="H8" s="8">
        <f t="shared" si="2"/>
        <v>0.88999098286744815</v>
      </c>
      <c r="AA8">
        <v>6</v>
      </c>
      <c r="AC8">
        <f t="shared" si="1"/>
        <v>6</v>
      </c>
      <c r="AE8">
        <f>$AA$3</f>
        <v>1</v>
      </c>
      <c r="AG8">
        <f>AA$13</f>
        <v>1</v>
      </c>
      <c r="AK8">
        <f>$AC7</f>
        <v>5</v>
      </c>
    </row>
    <row r="9" spans="2:37" x14ac:dyDescent="0.35">
      <c r="B9" s="1">
        <v>43647</v>
      </c>
      <c r="C9" s="6">
        <v>1446</v>
      </c>
      <c r="D9">
        <v>298</v>
      </c>
      <c r="E9">
        <f t="shared" si="0"/>
        <v>1148</v>
      </c>
      <c r="F9" s="7">
        <v>7428768</v>
      </c>
      <c r="G9">
        <f>F9/C9</f>
        <v>5137.4605809128634</v>
      </c>
      <c r="H9" s="8">
        <f t="shared" si="2"/>
        <v>0.89827856025039121</v>
      </c>
      <c r="AA9">
        <v>7</v>
      </c>
      <c r="AC9">
        <f t="shared" si="1"/>
        <v>7</v>
      </c>
      <c r="AE9">
        <f>$AA$3</f>
        <v>1</v>
      </c>
      <c r="AG9">
        <f>AA$13</f>
        <v>1</v>
      </c>
      <c r="AK9">
        <f>$AC8</f>
        <v>6</v>
      </c>
    </row>
    <row r="10" spans="2:37" x14ac:dyDescent="0.35">
      <c r="B10" s="1">
        <v>43678</v>
      </c>
      <c r="C10" s="6">
        <v>1607</v>
      </c>
      <c r="D10">
        <v>313</v>
      </c>
      <c r="E10">
        <f t="shared" si="0"/>
        <v>1294</v>
      </c>
      <c r="F10" s="7">
        <v>7951375</v>
      </c>
      <c r="G10">
        <f>F10/C10</f>
        <v>4947.9620410703174</v>
      </c>
      <c r="H10" s="8">
        <f t="shared" si="2"/>
        <v>0.89488243430152148</v>
      </c>
      <c r="AK10">
        <f>$AC9</f>
        <v>7</v>
      </c>
    </row>
    <row r="11" spans="2:37" x14ac:dyDescent="0.35">
      <c r="B11" s="1">
        <v>43709</v>
      </c>
      <c r="C11" s="6">
        <v>1774</v>
      </c>
      <c r="D11">
        <v>333</v>
      </c>
      <c r="E11">
        <f t="shared" si="0"/>
        <v>1441</v>
      </c>
      <c r="F11" s="7">
        <v>8818244</v>
      </c>
      <c r="G11">
        <f>F11/C11</f>
        <v>4970.8252536640357</v>
      </c>
      <c r="H11" s="8">
        <f t="shared" si="2"/>
        <v>0.89670192906036095</v>
      </c>
    </row>
    <row r="12" spans="2:37" x14ac:dyDescent="0.35">
      <c r="B12" s="1">
        <v>43739</v>
      </c>
      <c r="C12" s="6">
        <v>1968</v>
      </c>
      <c r="D12">
        <v>363</v>
      </c>
      <c r="E12">
        <f t="shared" si="0"/>
        <v>1605</v>
      </c>
      <c r="F12" s="7">
        <v>9852536</v>
      </c>
      <c r="G12">
        <f>F12/C12</f>
        <v>5006.3699186991871</v>
      </c>
      <c r="H12" s="8">
        <f t="shared" si="2"/>
        <v>0.90473506200676435</v>
      </c>
    </row>
    <row r="13" spans="2:37" x14ac:dyDescent="0.35">
      <c r="B13" s="1">
        <v>43770</v>
      </c>
      <c r="C13" s="6">
        <v>2134</v>
      </c>
      <c r="D13">
        <v>385</v>
      </c>
      <c r="E13">
        <f t="shared" si="0"/>
        <v>1749</v>
      </c>
      <c r="F13" s="7">
        <v>10737059</v>
      </c>
      <c r="G13">
        <f>F13/C13</f>
        <v>5031.4240862230554</v>
      </c>
      <c r="H13" s="8">
        <f t="shared" si="2"/>
        <v>0.88871951219512191</v>
      </c>
      <c r="AA13">
        <v>1</v>
      </c>
      <c r="AB13">
        <v>2</v>
      </c>
      <c r="AC13">
        <v>3</v>
      </c>
      <c r="AD13">
        <v>4</v>
      </c>
    </row>
    <row r="14" spans="2:37" x14ac:dyDescent="0.35">
      <c r="B14" s="1">
        <v>43800</v>
      </c>
      <c r="C14" s="6">
        <v>2342</v>
      </c>
      <c r="D14">
        <v>405</v>
      </c>
      <c r="E14">
        <f t="shared" si="0"/>
        <v>1937</v>
      </c>
      <c r="F14" s="7">
        <v>12199657</v>
      </c>
      <c r="G14">
        <f>F14/C14</f>
        <v>5209.0764304013665</v>
      </c>
      <c r="H14" s="8">
        <f t="shared" si="2"/>
        <v>0.90768509840674794</v>
      </c>
    </row>
    <row r="15" spans="2:37" x14ac:dyDescent="0.35">
      <c r="B15" s="1">
        <v>43831</v>
      </c>
      <c r="C15" s="6">
        <v>2546</v>
      </c>
      <c r="D15">
        <v>437</v>
      </c>
      <c r="E15">
        <f t="shared" si="0"/>
        <v>2109</v>
      </c>
      <c r="F15" s="7">
        <v>12161002</v>
      </c>
      <c r="G15">
        <f>F15/C15</f>
        <v>4776.5129615082478</v>
      </c>
      <c r="H15" s="8">
        <f t="shared" si="2"/>
        <v>0.90051238257899235</v>
      </c>
    </row>
    <row r="16" spans="2:37" x14ac:dyDescent="0.35">
      <c r="B16" s="1">
        <v>43862</v>
      </c>
      <c r="C16" s="6">
        <v>2735</v>
      </c>
      <c r="D16">
        <v>466</v>
      </c>
      <c r="E16">
        <f t="shared" si="0"/>
        <v>2269</v>
      </c>
      <c r="F16" s="7">
        <v>13441562</v>
      </c>
      <c r="G16">
        <f>F16/C16</f>
        <v>4914.6478976234002</v>
      </c>
      <c r="H16" s="8">
        <f t="shared" si="2"/>
        <v>0.89120188531029065</v>
      </c>
    </row>
    <row r="17" spans="2:8" x14ac:dyDescent="0.35">
      <c r="B17" s="1">
        <v>43891</v>
      </c>
      <c r="C17" s="6">
        <v>2990</v>
      </c>
      <c r="D17">
        <v>512</v>
      </c>
      <c r="E17">
        <f t="shared" si="0"/>
        <v>2478</v>
      </c>
      <c r="F17" s="7">
        <v>14733658</v>
      </c>
      <c r="G17">
        <f>F17/C17</f>
        <v>4927.6448160535119</v>
      </c>
      <c r="H17" s="8">
        <f t="shared" si="2"/>
        <v>0.90603290676416814</v>
      </c>
    </row>
    <row r="18" spans="2:8" x14ac:dyDescent="0.35">
      <c r="B18" s="1">
        <v>43922</v>
      </c>
      <c r="C18" s="6">
        <v>3202</v>
      </c>
      <c r="D18">
        <v>533</v>
      </c>
      <c r="E18">
        <f t="shared" si="0"/>
        <v>2669</v>
      </c>
      <c r="F18" s="7">
        <v>15359995</v>
      </c>
      <c r="G18">
        <f>F18/C18</f>
        <v>4797.0003123048091</v>
      </c>
      <c r="H18" s="8">
        <f t="shared" si="2"/>
        <v>0.89264214046822743</v>
      </c>
    </row>
    <row r="19" spans="2:8" x14ac:dyDescent="0.35">
      <c r="B19" s="1">
        <v>43952</v>
      </c>
      <c r="C19" s="6">
        <v>3487</v>
      </c>
      <c r="D19">
        <v>574</v>
      </c>
      <c r="E19">
        <f t="shared" si="0"/>
        <v>2913</v>
      </c>
      <c r="F19" s="7">
        <v>17768388</v>
      </c>
      <c r="G19">
        <f>F19/C19</f>
        <v>5095.6088328075712</v>
      </c>
      <c r="H19" s="8">
        <f t="shared" si="2"/>
        <v>0.90974391005621491</v>
      </c>
    </row>
    <row r="20" spans="2:8" x14ac:dyDescent="0.35">
      <c r="B20" s="1">
        <v>43983</v>
      </c>
      <c r="C20" s="6">
        <v>3722</v>
      </c>
      <c r="D20">
        <v>591</v>
      </c>
      <c r="E20">
        <f t="shared" si="0"/>
        <v>3131</v>
      </c>
      <c r="F20" s="7">
        <v>19279844</v>
      </c>
      <c r="G20">
        <f>F20/C20</f>
        <v>5179.9688339602362</v>
      </c>
      <c r="H20" s="8">
        <f t="shared" si="2"/>
        <v>0.89790650989389165</v>
      </c>
    </row>
    <row r="21" spans="2:8" x14ac:dyDescent="0.35">
      <c r="B21" s="1">
        <v>44013</v>
      </c>
      <c r="C21" s="6">
        <v>3981</v>
      </c>
      <c r="D21">
        <v>604</v>
      </c>
      <c r="E21">
        <f t="shared" si="0"/>
        <v>3377</v>
      </c>
      <c r="F21" s="7">
        <v>20800712</v>
      </c>
      <c r="G21">
        <f>F21/C21</f>
        <v>5224.9967344888219</v>
      </c>
      <c r="H21" s="8">
        <f t="shared" si="2"/>
        <v>0.90730789897904351</v>
      </c>
    </row>
    <row r="22" spans="2:8" x14ac:dyDescent="0.35">
      <c r="B22" s="1">
        <v>44044</v>
      </c>
      <c r="C22" s="6">
        <v>4179</v>
      </c>
      <c r="D22">
        <v>625</v>
      </c>
      <c r="E22">
        <f t="shared" si="0"/>
        <v>3554</v>
      </c>
      <c r="F22" s="7">
        <v>21529097</v>
      </c>
      <c r="G22">
        <f>F22/C22</f>
        <v>5151.7341469251014</v>
      </c>
      <c r="H22" s="8">
        <f t="shared" si="2"/>
        <v>0.89274051745792515</v>
      </c>
    </row>
    <row r="23" spans="2:8" x14ac:dyDescent="0.35">
      <c r="B23" s="1">
        <v>44075</v>
      </c>
      <c r="C23" s="6">
        <v>4388</v>
      </c>
      <c r="D23">
        <v>658</v>
      </c>
      <c r="E23">
        <f t="shared" si="0"/>
        <v>3730</v>
      </c>
      <c r="F23" s="7">
        <v>22417322</v>
      </c>
      <c r="G23">
        <f>F23/C23</f>
        <v>5108.7789425706469</v>
      </c>
      <c r="H23" s="8">
        <f t="shared" si="2"/>
        <v>0.89255802823642016</v>
      </c>
    </row>
    <row r="24" spans="2:8" x14ac:dyDescent="0.35">
      <c r="B24" s="1">
        <v>44105</v>
      </c>
      <c r="C24" s="6">
        <v>4564</v>
      </c>
      <c r="D24">
        <v>659</v>
      </c>
      <c r="E24">
        <f t="shared" si="0"/>
        <v>3905</v>
      </c>
      <c r="F24" s="7">
        <v>21940414</v>
      </c>
      <c r="G24">
        <f>F24/C24</f>
        <v>4807.2773882559159</v>
      </c>
      <c r="H24" s="8">
        <f t="shared" si="2"/>
        <v>0.88992707383773928</v>
      </c>
    </row>
    <row r="25" spans="2:8" x14ac:dyDescent="0.35">
      <c r="B25" s="1">
        <v>44136</v>
      </c>
      <c r="C25" s="6">
        <v>4804</v>
      </c>
      <c r="D25">
        <v>722</v>
      </c>
      <c r="E25">
        <f t="shared" si="0"/>
        <v>4082</v>
      </c>
      <c r="F25" s="7">
        <v>24251369</v>
      </c>
      <c r="G25">
        <f>F25/C25</f>
        <v>5048.1617402164866</v>
      </c>
      <c r="H25" s="8">
        <f t="shared" si="2"/>
        <v>0.89439088518843124</v>
      </c>
    </row>
    <row r="26" spans="2:8" x14ac:dyDescent="0.35">
      <c r="B26" s="1">
        <v>44166</v>
      </c>
      <c r="C26" s="6">
        <v>5022</v>
      </c>
      <c r="D26">
        <v>724</v>
      </c>
      <c r="E26">
        <f t="shared" si="0"/>
        <v>4298</v>
      </c>
      <c r="F26" s="7">
        <v>24010359</v>
      </c>
      <c r="G26">
        <f>F26/C26</f>
        <v>4781.0352449223419</v>
      </c>
      <c r="H26" s="8">
        <f t="shared" si="2"/>
        <v>0.89467110741049127</v>
      </c>
    </row>
    <row r="27" spans="2:8" x14ac:dyDescent="0.35">
      <c r="B27" s="1">
        <v>44197</v>
      </c>
      <c r="C27" s="6">
        <v>5270</v>
      </c>
      <c r="D27">
        <v>729</v>
      </c>
      <c r="E27">
        <f t="shared" si="0"/>
        <v>4541</v>
      </c>
      <c r="F27" s="7">
        <v>26013320</v>
      </c>
      <c r="G27">
        <f>F27/C27</f>
        <v>4936.1138519924098</v>
      </c>
      <c r="H27" s="8">
        <f t="shared" si="2"/>
        <v>0.90422142572680209</v>
      </c>
    </row>
    <row r="28" spans="2:8" x14ac:dyDescent="0.35">
      <c r="B28" s="1">
        <v>44228</v>
      </c>
      <c r="C28" s="6">
        <v>5444</v>
      </c>
      <c r="D28">
        <v>754</v>
      </c>
      <c r="E28">
        <f t="shared" si="0"/>
        <v>4690</v>
      </c>
      <c r="F28" s="7">
        <v>26225513</v>
      </c>
      <c r="G28">
        <f>F28/C28</f>
        <v>4817.3242101396036</v>
      </c>
      <c r="H28" s="8">
        <f t="shared" si="2"/>
        <v>0.88994307400379502</v>
      </c>
    </row>
    <row r="29" spans="2:8" ht="15" thickBot="1" x14ac:dyDescent="0.4">
      <c r="B29" s="10">
        <v>44256</v>
      </c>
      <c r="C29" s="11">
        <v>5639</v>
      </c>
      <c r="D29" s="12">
        <v>777</v>
      </c>
      <c r="E29" s="12">
        <f t="shared" si="0"/>
        <v>4862</v>
      </c>
      <c r="F29" s="13">
        <v>29601325</v>
      </c>
      <c r="G29" s="12">
        <f>F29/C29</f>
        <v>5249.3926228054615</v>
      </c>
      <c r="H29" s="14">
        <f t="shared" si="2"/>
        <v>0.89309331373989709</v>
      </c>
    </row>
    <row r="30" spans="2:8" x14ac:dyDescent="0.35">
      <c r="B30" s="1">
        <v>44287</v>
      </c>
      <c r="C30" s="6">
        <f>C29*$K$6+D30</f>
        <v>5931.49</v>
      </c>
      <c r="D30">
        <v>800</v>
      </c>
      <c r="F30" s="7">
        <f>$K$3*C30</f>
        <v>29630515.350539628</v>
      </c>
    </row>
    <row r="31" spans="2:8" x14ac:dyDescent="0.35">
      <c r="B31" s="1">
        <v>44317</v>
      </c>
      <c r="C31" s="6">
        <f t="shared" ref="C31:C41" si="3">C30*$K$6+D31</f>
        <v>6097.6558999999997</v>
      </c>
      <c r="D31">
        <v>700</v>
      </c>
      <c r="F31" s="7">
        <f t="shared" ref="F31:F41" si="4">$K$3*C31</f>
        <v>30460590.298096858</v>
      </c>
    </row>
    <row r="32" spans="2:8" x14ac:dyDescent="0.35">
      <c r="B32" s="1">
        <v>44348</v>
      </c>
      <c r="C32" s="6">
        <f t="shared" si="3"/>
        <v>6048.8668690000004</v>
      </c>
      <c r="D32">
        <v>500</v>
      </c>
      <c r="F32" s="7">
        <f t="shared" si="4"/>
        <v>30216866.692057997</v>
      </c>
    </row>
    <row r="33" spans="2:6" x14ac:dyDescent="0.35">
      <c r="B33" s="1">
        <v>44378</v>
      </c>
      <c r="C33" s="6">
        <f t="shared" si="3"/>
        <v>5904.4688507900009</v>
      </c>
      <c r="D33">
        <v>400</v>
      </c>
      <c r="F33" s="7">
        <f t="shared" si="4"/>
        <v>29495532.306404665</v>
      </c>
    </row>
    <row r="34" spans="2:6" x14ac:dyDescent="0.35">
      <c r="B34" s="1">
        <v>44409</v>
      </c>
      <c r="C34" s="6">
        <f t="shared" si="3"/>
        <v>6073.066654218901</v>
      </c>
      <c r="D34">
        <v>700</v>
      </c>
      <c r="F34" s="7">
        <f t="shared" si="4"/>
        <v>30337755.727934044</v>
      </c>
    </row>
    <row r="35" spans="2:6" x14ac:dyDescent="0.35">
      <c r="B35" s="1">
        <v>44440</v>
      </c>
      <c r="C35" s="6">
        <f t="shared" si="3"/>
        <v>6326.4906553392002</v>
      </c>
      <c r="D35">
        <v>800</v>
      </c>
      <c r="F35" s="7">
        <f t="shared" si="4"/>
        <v>31603724.945683748</v>
      </c>
    </row>
    <row r="36" spans="2:6" x14ac:dyDescent="0.35">
      <c r="B36" s="1">
        <v>44470</v>
      </c>
      <c r="C36" s="6">
        <f t="shared" si="3"/>
        <v>6607.1064963586723</v>
      </c>
      <c r="D36">
        <v>850</v>
      </c>
      <c r="F36" s="7">
        <f t="shared" si="4"/>
        <v>33005529.885914963</v>
      </c>
    </row>
    <row r="37" spans="2:6" x14ac:dyDescent="0.35">
      <c r="B37" s="1">
        <v>44501</v>
      </c>
      <c r="C37" s="6">
        <f t="shared" si="3"/>
        <v>6862.4669116863925</v>
      </c>
      <c r="D37">
        <v>850</v>
      </c>
      <c r="F37" s="7">
        <f t="shared" si="4"/>
        <v>34281172.381525375</v>
      </c>
    </row>
    <row r="38" spans="2:6" x14ac:dyDescent="0.35">
      <c r="B38" s="1">
        <v>44531</v>
      </c>
      <c r="C38" s="6">
        <f t="shared" si="3"/>
        <v>6944.8448896346172</v>
      </c>
      <c r="D38">
        <v>700</v>
      </c>
      <c r="F38" s="7">
        <f t="shared" si="4"/>
        <v>34692688.196293883</v>
      </c>
    </row>
    <row r="39" spans="2:6" x14ac:dyDescent="0.35">
      <c r="B39" s="1">
        <v>44562</v>
      </c>
      <c r="C39" s="6">
        <f t="shared" si="3"/>
        <v>6819.808849567502</v>
      </c>
      <c r="D39">
        <v>500</v>
      </c>
      <c r="F39" s="7">
        <f t="shared" si="4"/>
        <v>34068075.779417291</v>
      </c>
    </row>
    <row r="40" spans="2:6" x14ac:dyDescent="0.35">
      <c r="B40" s="1">
        <v>44593</v>
      </c>
      <c r="C40" s="6">
        <f t="shared" si="3"/>
        <v>6956.0260531064268</v>
      </c>
      <c r="D40">
        <v>750</v>
      </c>
      <c r="F40" s="7">
        <f t="shared" si="4"/>
        <v>34748543.240454517</v>
      </c>
    </row>
    <row r="41" spans="2:6" x14ac:dyDescent="0.35">
      <c r="B41" s="1">
        <v>44621</v>
      </c>
      <c r="C41" s="6">
        <f t="shared" si="3"/>
        <v>7229.9837083268485</v>
      </c>
      <c r="D41">
        <v>900</v>
      </c>
      <c r="F41" s="7">
        <f t="shared" si="4"/>
        <v>36117087.48623535</v>
      </c>
    </row>
    <row r="43" spans="2:6" x14ac:dyDescent="0.35">
      <c r="E43" t="s">
        <v>12</v>
      </c>
      <c r="F43" s="7">
        <f>SUM(F30:F41)</f>
        <v>388658082.29055822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F9AD-F12D-5340-8ED4-FF4B314D3239}">
  <dimension ref="A1:B13"/>
  <sheetViews>
    <sheetView workbookViewId="0">
      <selection activeCell="B2" sqref="B2:B13"/>
    </sheetView>
  </sheetViews>
  <sheetFormatPr defaultColWidth="11.453125" defaultRowHeight="14.5" x14ac:dyDescent="0.35"/>
  <cols>
    <col min="2" max="2" width="24.26953125" customWidth="1"/>
  </cols>
  <sheetData>
    <row r="1" spans="1:2" x14ac:dyDescent="0.35">
      <c r="A1" s="4" t="s">
        <v>1</v>
      </c>
      <c r="B1" s="4" t="s">
        <v>6</v>
      </c>
    </row>
    <row r="2" spans="1:2" x14ac:dyDescent="0.35">
      <c r="A2" s="1">
        <v>44287</v>
      </c>
      <c r="B2">
        <v>800</v>
      </c>
    </row>
    <row r="3" spans="1:2" x14ac:dyDescent="0.35">
      <c r="A3" s="1">
        <v>44317</v>
      </c>
      <c r="B3">
        <v>700</v>
      </c>
    </row>
    <row r="4" spans="1:2" x14ac:dyDescent="0.35">
      <c r="A4" s="1">
        <v>44348</v>
      </c>
      <c r="B4">
        <v>500</v>
      </c>
    </row>
    <row r="5" spans="1:2" x14ac:dyDescent="0.35">
      <c r="A5" s="1">
        <v>44378</v>
      </c>
      <c r="B5">
        <v>400</v>
      </c>
    </row>
    <row r="6" spans="1:2" x14ac:dyDescent="0.35">
      <c r="A6" s="1">
        <v>44409</v>
      </c>
      <c r="B6">
        <v>700</v>
      </c>
    </row>
    <row r="7" spans="1:2" x14ac:dyDescent="0.35">
      <c r="A7" s="1">
        <v>44440</v>
      </c>
      <c r="B7">
        <v>800</v>
      </c>
    </row>
    <row r="8" spans="1:2" x14ac:dyDescent="0.35">
      <c r="A8" s="1">
        <v>44470</v>
      </c>
      <c r="B8">
        <v>850</v>
      </c>
    </row>
    <row r="9" spans="1:2" x14ac:dyDescent="0.35">
      <c r="A9" s="1">
        <v>44501</v>
      </c>
      <c r="B9">
        <v>850</v>
      </c>
    </row>
    <row r="10" spans="1:2" x14ac:dyDescent="0.35">
      <c r="A10" s="1">
        <v>44531</v>
      </c>
      <c r="B10">
        <v>700</v>
      </c>
    </row>
    <row r="11" spans="1:2" x14ac:dyDescent="0.35">
      <c r="A11" s="1">
        <v>44562</v>
      </c>
      <c r="B11">
        <v>500</v>
      </c>
    </row>
    <row r="12" spans="1:2" x14ac:dyDescent="0.35">
      <c r="A12" s="1">
        <v>44593</v>
      </c>
      <c r="B12">
        <v>750</v>
      </c>
    </row>
    <row r="13" spans="1:2" x14ac:dyDescent="0.35">
      <c r="A13" s="1">
        <v>44621</v>
      </c>
      <c r="B1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Студенты</vt:lpstr>
      <vt:lpstr>План маркетинга</vt:lpstr>
    </vt:vector>
  </TitlesOfParts>
  <Company>Yandex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Sysoev</dc:creator>
  <cp:lastModifiedBy>Кабаков Глеб</cp:lastModifiedBy>
  <dcterms:created xsi:type="dcterms:W3CDTF">2021-05-19T18:49:37Z</dcterms:created>
  <dcterms:modified xsi:type="dcterms:W3CDTF">2026-05-26T16:28:50Z</dcterms:modified>
</cp:coreProperties>
</file>